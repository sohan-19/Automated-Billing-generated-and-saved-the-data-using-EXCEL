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ohan\"/>
    </mc:Choice>
  </mc:AlternateContent>
  <xr:revisionPtr revIDLastSave="0" documentId="13_ncr:1_{3BC6B235-B1DC-4840-849A-79B9EDCD7709}" xr6:coauthVersionLast="47" xr6:coauthVersionMax="47" xr10:uidLastSave="{00000000-0000-0000-0000-000000000000}"/>
  <bookViews>
    <workbookView xWindow="-108" yWindow="-108" windowWidth="23256" windowHeight="12576" xr2:uid="{F9E3758C-D9DA-4C94-B9E6-F855F723CC59}"/>
  </bookViews>
  <sheets>
    <sheet name="Billing_Details" sheetId="1" r:id="rId1"/>
    <sheet name="Sales_Data" sheetId="3" r:id="rId2"/>
    <sheet name="Product Details" sheetId="2" r:id="rId3"/>
  </sheets>
  <definedNames>
    <definedName name="_xlnm.Print_Area" localSheetId="0">Billing_Details!$A$1:$G$19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" i="1" l="1"/>
  <c r="G10" i="1" s="1"/>
  <c r="F11" i="1"/>
  <c r="G11" i="1" s="1"/>
  <c r="F12" i="1"/>
  <c r="G12" i="1" s="1"/>
  <c r="F13" i="1"/>
  <c r="G13" i="1" s="1"/>
  <c r="F14" i="1"/>
  <c r="G14" i="1" s="1"/>
  <c r="F15" i="1"/>
  <c r="G15" i="1" s="1"/>
  <c r="F16" i="1"/>
  <c r="G16" i="1" s="1"/>
  <c r="F17" i="1"/>
  <c r="G17" i="1" s="1"/>
  <c r="F18" i="1"/>
  <c r="G18" i="1" s="1"/>
  <c r="F9" i="1"/>
  <c r="G9" i="1" s="1"/>
  <c r="B10" i="1"/>
  <c r="B11" i="1"/>
  <c r="B12" i="1"/>
  <c r="B13" i="1"/>
  <c r="B14" i="1"/>
  <c r="B15" i="1"/>
  <c r="B16" i="1"/>
  <c r="B17" i="1"/>
  <c r="B18" i="1"/>
  <c r="B9" i="1"/>
  <c r="A19" i="2"/>
  <c r="A20" i="2"/>
  <c r="A21" i="2"/>
  <c r="A22" i="2"/>
  <c r="A23" i="2"/>
  <c r="A24" i="2"/>
  <c r="A25" i="2"/>
  <c r="A26" i="2"/>
  <c r="A13" i="2"/>
  <c r="A14" i="2"/>
  <c r="A15" i="2"/>
  <c r="A16" i="2"/>
  <c r="A17" i="2"/>
  <c r="A18" i="2"/>
  <c r="G19" i="1" l="1"/>
</calcChain>
</file>

<file path=xl/sharedStrings.xml><?xml version="1.0" encoding="utf-8"?>
<sst xmlns="http://schemas.openxmlformats.org/spreadsheetml/2006/main" count="50" uniqueCount="42">
  <si>
    <t>Niraj City,603,E8,Kamal Building,Barave Road Behind Om residency ,Kalyan West Thane Maharashtra Pincode 421301                                                                Mob No :-9004783224 / 9323164259</t>
  </si>
  <si>
    <t>Viju's Café Pure Veg South Indian</t>
  </si>
  <si>
    <t>Date :-</t>
  </si>
  <si>
    <t>Timing:-</t>
  </si>
  <si>
    <t>Order No :-</t>
  </si>
  <si>
    <t>Mob No :-</t>
  </si>
  <si>
    <t xml:space="preserve">Item Code </t>
  </si>
  <si>
    <t xml:space="preserve">Item Name </t>
  </si>
  <si>
    <t>Qty</t>
  </si>
  <si>
    <t>Price</t>
  </si>
  <si>
    <t xml:space="preserve">Price </t>
  </si>
  <si>
    <t xml:space="preserve">Item name </t>
  </si>
  <si>
    <t>001</t>
  </si>
  <si>
    <t xml:space="preserve">Idli </t>
  </si>
  <si>
    <t>Medu Vada</t>
  </si>
  <si>
    <t>Dosa</t>
  </si>
  <si>
    <t>Masala Dosa</t>
  </si>
  <si>
    <t>Uttappa</t>
  </si>
  <si>
    <t>Onion Uttappa</t>
  </si>
  <si>
    <t>Tomato Uttappa</t>
  </si>
  <si>
    <t>Tea</t>
  </si>
  <si>
    <t>Coffee</t>
  </si>
  <si>
    <t>Poha</t>
  </si>
  <si>
    <t>Upma</t>
  </si>
  <si>
    <t>Total Price</t>
  </si>
  <si>
    <t>002</t>
  </si>
  <si>
    <t>003</t>
  </si>
  <si>
    <t>004</t>
  </si>
  <si>
    <t>005</t>
  </si>
  <si>
    <t>006</t>
  </si>
  <si>
    <t>007</t>
  </si>
  <si>
    <t>008</t>
  </si>
  <si>
    <t>009</t>
  </si>
  <si>
    <t>010</t>
  </si>
  <si>
    <t>011</t>
  </si>
  <si>
    <t>Total Bill</t>
  </si>
  <si>
    <t>Total Bill :-</t>
  </si>
  <si>
    <t xml:space="preserve">Order No </t>
  </si>
  <si>
    <t>Timing</t>
  </si>
  <si>
    <t xml:space="preserve">Mob No </t>
  </si>
  <si>
    <t xml:space="preserve">Total Price </t>
  </si>
  <si>
    <t xml:space="preserve">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</si>
</sst>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₹&quot;\ #,##0.00;&quot;₹&quot;\ \-#,##0.00"/>
    <numFmt numFmtId="164" formatCode="&quot;₹&quot;\ #,##0.00"/>
    <numFmt numFmtId="165" formatCode="[$-F400]h:mm:ss\ AM/PM"/>
    <numFmt numFmtId="166" formatCode="000"/>
    <numFmt numFmtId="168" formatCode="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49" fontId="0" fillId="0" borderId="0" xfId="0" applyNumberFormat="1"/>
    <xf numFmtId="164" fontId="0" fillId="0" borderId="0" xfId="0" applyNumberFormat="1"/>
    <xf numFmtId="0" fontId="1" fillId="0" borderId="0" xfId="0" applyFont="1"/>
    <xf numFmtId="0" fontId="0" fillId="2" borderId="0" xfId="0" applyFill="1"/>
    <xf numFmtId="0" fontId="1" fillId="2" borderId="1" xfId="0" applyFont="1" applyFill="1" applyBorder="1"/>
    <xf numFmtId="49" fontId="2" fillId="2" borderId="3" xfId="0" applyNumberFormat="1" applyFont="1" applyFill="1" applyBorder="1"/>
    <xf numFmtId="0" fontId="2" fillId="2" borderId="3" xfId="0" applyFont="1" applyFill="1" applyBorder="1"/>
    <xf numFmtId="0" fontId="0" fillId="2" borderId="5" xfId="0" applyFill="1" applyBorder="1"/>
    <xf numFmtId="0" fontId="0" fillId="2" borderId="4" xfId="0" applyFill="1" applyBorder="1"/>
    <xf numFmtId="49" fontId="0" fillId="2" borderId="0" xfId="0" applyNumberFormat="1" applyFill="1"/>
    <xf numFmtId="164" fontId="2" fillId="2" borderId="3" xfId="0" applyNumberFormat="1" applyFont="1" applyFill="1" applyBorder="1"/>
    <xf numFmtId="0" fontId="3" fillId="2" borderId="6" xfId="0" applyFont="1" applyFill="1" applyBorder="1"/>
    <xf numFmtId="164" fontId="3" fillId="2" borderId="7" xfId="0" applyNumberFormat="1" applyFont="1" applyFill="1" applyBorder="1"/>
    <xf numFmtId="49" fontId="1" fillId="0" borderId="0" xfId="0" applyNumberFormat="1" applyFont="1"/>
    <xf numFmtId="164" fontId="1" fillId="0" borderId="0" xfId="0" applyNumberFormat="1" applyFont="1"/>
    <xf numFmtId="7" fontId="0" fillId="0" borderId="0" xfId="0" applyNumberFormat="1"/>
    <xf numFmtId="49" fontId="2" fillId="2" borderId="2" xfId="0" applyNumberFormat="1" applyFont="1" applyFill="1" applyBorder="1"/>
    <xf numFmtId="49" fontId="2" fillId="2" borderId="10" xfId="0" applyNumberFormat="1" applyFont="1" applyFill="1" applyBorder="1"/>
    <xf numFmtId="49" fontId="0" fillId="2" borderId="12" xfId="0" applyNumberFormat="1" applyFill="1" applyBorder="1"/>
    <xf numFmtId="49" fontId="0" fillId="2" borderId="14" xfId="0" applyNumberFormat="1" applyFill="1" applyBorder="1"/>
    <xf numFmtId="49" fontId="0" fillId="2" borderId="15" xfId="0" applyNumberFormat="1" applyFill="1" applyBorder="1"/>
    <xf numFmtId="14" fontId="0" fillId="0" borderId="0" xfId="0" applyNumberFormat="1"/>
    <xf numFmtId="166" fontId="0" fillId="0" borderId="0" xfId="0" applyNumberFormat="1"/>
    <xf numFmtId="164" fontId="2" fillId="2" borderId="5" xfId="0" applyNumberFormat="1" applyFont="1" applyFill="1" applyBorder="1"/>
    <xf numFmtId="164" fontId="2" fillId="2" borderId="4" xfId="0" applyNumberFormat="1" applyFont="1" applyFill="1" applyBorder="1"/>
    <xf numFmtId="49" fontId="2" fillId="2" borderId="5" xfId="0" applyNumberFormat="1" applyFont="1" applyFill="1" applyBorder="1"/>
    <xf numFmtId="49" fontId="2" fillId="2" borderId="4" xfId="0" applyNumberFormat="1" applyFont="1" applyFill="1" applyBorder="1"/>
    <xf numFmtId="165" fontId="0" fillId="0" borderId="0" xfId="0" applyNumberFormat="1"/>
    <xf numFmtId="0" fontId="0" fillId="0" borderId="0" xfId="0" applyNumberFormat="1"/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/>
    </xf>
    <xf numFmtId="0" fontId="3" fillId="2" borderId="6" xfId="0" applyFont="1" applyFill="1" applyBorder="1" applyProtection="1">
      <protection locked="0"/>
    </xf>
    <xf numFmtId="14" fontId="3" fillId="2" borderId="7" xfId="0" applyNumberFormat="1" applyFont="1" applyFill="1" applyBorder="1" applyProtection="1">
      <protection locked="0"/>
    </xf>
    <xf numFmtId="0" fontId="3" fillId="2" borderId="7" xfId="0" applyFont="1" applyFill="1" applyBorder="1" applyProtection="1">
      <protection locked="0"/>
    </xf>
    <xf numFmtId="165" fontId="3" fillId="2" borderId="6" xfId="0" applyNumberFormat="1" applyFont="1" applyFill="1" applyBorder="1" applyProtection="1">
      <protection locked="0"/>
    </xf>
    <xf numFmtId="165" fontId="3" fillId="2" borderId="7" xfId="0" applyNumberFormat="1" applyFont="1" applyFill="1" applyBorder="1" applyProtection="1">
      <protection locked="0"/>
    </xf>
    <xf numFmtId="0" fontId="3" fillId="2" borderId="8" xfId="0" applyFont="1" applyFill="1" applyBorder="1" applyProtection="1">
      <protection locked="0"/>
    </xf>
    <xf numFmtId="0" fontId="2" fillId="2" borderId="9" xfId="0" applyNumberFormat="1" applyFont="1" applyFill="1" applyBorder="1"/>
    <xf numFmtId="0" fontId="2" fillId="2" borderId="11" xfId="0" applyNumberFormat="1" applyFont="1" applyFill="1" applyBorder="1"/>
    <xf numFmtId="0" fontId="2" fillId="2" borderId="13" xfId="0" applyNumberFormat="1" applyFont="1" applyFill="1" applyBorder="1"/>
    <xf numFmtId="168" fontId="3" fillId="2" borderId="8" xfId="0" applyNumberFormat="1" applyFont="1" applyFill="1" applyBorder="1" applyAlignment="1" applyProtection="1">
      <alignment horizontal="center"/>
      <protection locked="0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165" fontId="1" fillId="0" borderId="0" xfId="0" applyNumberFormat="1" applyFont="1"/>
    <xf numFmtId="0" fontId="1" fillId="0" borderId="0" xfId="0" applyNumberFormat="1" applyFont="1"/>
    <xf numFmtId="166" fontId="1" fillId="0" borderId="0" xfId="0" applyNumberFormat="1" applyFont="1"/>
  </cellXfs>
  <cellStyles count="1">
    <cellStyle name="Normal" xfId="0" builtinId="0"/>
  </cellStyles>
  <dxfs count="2">
    <dxf>
      <numFmt numFmtId="164" formatCode="&quot;₹&quot;\ #,##0.0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99060</xdr:colOff>
          <xdr:row>0</xdr:row>
          <xdr:rowOff>121920</xdr:rowOff>
        </xdr:from>
        <xdr:to>
          <xdr:col>10</xdr:col>
          <xdr:colOff>220980</xdr:colOff>
          <xdr:row>5</xdr:row>
          <xdr:rowOff>22860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Print Bill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125211-BCB5-4BD1-9FEA-C2E2469D85A1}" name="Table1" displayName="Table1" ref="A1:C26" totalsRowShown="0">
  <autoFilter ref="A1:C26" xr:uid="{33125211-BCB5-4BD1-9FEA-C2E2469D85A1}"/>
  <tableColumns count="3">
    <tableColumn id="1" xr3:uid="{845F8FF1-859C-4E4D-B503-E42B07F51F81}" name="Item Code ">
      <calculatedColumnFormula>TEXT(ROW(A1),"000")</calculatedColumnFormula>
    </tableColumn>
    <tableColumn id="2" xr3:uid="{4919D2B9-DDA4-4575-9DD9-7975E1C278B4}" name="Item name " dataDxfId="1"/>
    <tableColumn id="3" xr3:uid="{60FC3895-BFA6-48A9-B064-BBB7D151A717}" name="Price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BCD07-1823-491B-ABA7-0F62E5801D44}">
  <sheetPr codeName="Sheet1"/>
  <dimension ref="A1:G30"/>
  <sheetViews>
    <sheetView tabSelected="1" workbookViewId="0">
      <selection activeCell="B9" sqref="B9"/>
    </sheetView>
  </sheetViews>
  <sheetFormatPr defaultRowHeight="14.4" x14ac:dyDescent="0.3"/>
  <cols>
    <col min="1" max="1" width="10.109375" style="4" customWidth="1"/>
    <col min="2" max="2" width="11.21875" style="4" bestFit="1" customWidth="1"/>
    <col min="3" max="3" width="11.88671875" style="4" customWidth="1"/>
    <col min="4" max="4" width="12.88671875" style="4" customWidth="1"/>
    <col min="5" max="5" width="8.88671875" style="4"/>
    <col min="6" max="6" width="12.33203125" style="4" customWidth="1"/>
    <col min="7" max="7" width="9.77734375" style="4" customWidth="1"/>
    <col min="8" max="16384" width="8.88671875" style="4"/>
  </cols>
  <sheetData>
    <row r="1" spans="1:7" x14ac:dyDescent="0.3">
      <c r="A1" s="31" t="s">
        <v>1</v>
      </c>
      <c r="B1" s="31"/>
      <c r="C1" s="31"/>
      <c r="D1" s="31"/>
      <c r="E1" s="31"/>
    </row>
    <row r="2" spans="1:7" x14ac:dyDescent="0.3">
      <c r="A2" s="30" t="s">
        <v>0</v>
      </c>
      <c r="B2" s="30"/>
      <c r="C2" s="30"/>
      <c r="D2" s="30"/>
      <c r="E2" s="30"/>
    </row>
    <row r="3" spans="1:7" x14ac:dyDescent="0.3">
      <c r="A3" s="30"/>
      <c r="B3" s="30"/>
      <c r="C3" s="30"/>
      <c r="D3" s="30"/>
      <c r="E3" s="30"/>
    </row>
    <row r="4" spans="1:7" x14ac:dyDescent="0.3">
      <c r="A4" s="30"/>
      <c r="B4" s="30"/>
      <c r="C4" s="30"/>
      <c r="D4" s="30"/>
      <c r="E4" s="30"/>
    </row>
    <row r="5" spans="1:7" x14ac:dyDescent="0.3">
      <c r="A5" s="30"/>
      <c r="B5" s="30"/>
      <c r="C5" s="30"/>
      <c r="D5" s="30"/>
      <c r="E5" s="30"/>
    </row>
    <row r="6" spans="1:7" ht="15.6" x14ac:dyDescent="0.3">
      <c r="A6" s="32" t="s">
        <v>2</v>
      </c>
      <c r="B6" s="33">
        <v>46078</v>
      </c>
      <c r="C6" s="32" t="s">
        <v>4</v>
      </c>
      <c r="D6" s="41">
        <v>2</v>
      </c>
      <c r="E6" s="34"/>
    </row>
    <row r="7" spans="1:7" ht="15.6" x14ac:dyDescent="0.3">
      <c r="A7" s="35" t="s">
        <v>3</v>
      </c>
      <c r="B7" s="36">
        <v>0.54609953703703706</v>
      </c>
      <c r="C7" s="32" t="s">
        <v>5</v>
      </c>
      <c r="D7" s="37"/>
      <c r="E7" s="34"/>
    </row>
    <row r="8" spans="1:7" x14ac:dyDescent="0.3">
      <c r="A8" s="5" t="s">
        <v>6</v>
      </c>
      <c r="B8" s="42" t="s">
        <v>7</v>
      </c>
      <c r="C8" s="44"/>
      <c r="D8" s="43"/>
      <c r="E8" s="5" t="s">
        <v>8</v>
      </c>
      <c r="F8" s="5" t="s">
        <v>9</v>
      </c>
      <c r="G8" s="5" t="s">
        <v>24</v>
      </c>
    </row>
    <row r="9" spans="1:7" ht="15.6" x14ac:dyDescent="0.3">
      <c r="A9" s="6"/>
      <c r="B9" s="38" t="str">
        <f>IFERROR(VLOOKUP(A9,'Product Details'!$A$1:$C$12,2,0)," ")</f>
        <v xml:space="preserve"> </v>
      </c>
      <c r="C9" s="17"/>
      <c r="D9" s="18"/>
      <c r="E9" s="7"/>
      <c r="F9" s="11" t="str">
        <f>IFERROR(VLOOKUP(A9,'Product Details'!$A$1:$G$12,3,0)," ")</f>
        <v xml:space="preserve"> </v>
      </c>
      <c r="G9" s="11" t="str">
        <f>IFERROR(F9*E9," ")</f>
        <v xml:space="preserve"> </v>
      </c>
    </row>
    <row r="10" spans="1:7" ht="15.6" x14ac:dyDescent="0.3">
      <c r="A10" s="26"/>
      <c r="B10" s="39" t="str">
        <f>IFERROR(VLOOKUP(A10,'Product Details'!$A$1:$C$12,2,0)," ")</f>
        <v xml:space="preserve"> </v>
      </c>
      <c r="C10" s="10"/>
      <c r="D10" s="19"/>
      <c r="E10" s="8"/>
      <c r="F10" s="24" t="str">
        <f>IFERROR(VLOOKUP(A10,'Product Details'!$A$1:$G$12,3,0)," ")</f>
        <v xml:space="preserve"> </v>
      </c>
      <c r="G10" s="24" t="str">
        <f t="shared" ref="G10:G18" si="0">IFERROR(F10*E10," ")</f>
        <v xml:space="preserve"> </v>
      </c>
    </row>
    <row r="11" spans="1:7" ht="15.6" x14ac:dyDescent="0.3">
      <c r="A11" s="26"/>
      <c r="B11" s="39" t="str">
        <f>IFERROR(VLOOKUP(A11,'Product Details'!$A$1:$C$12,2,0)," ")</f>
        <v xml:space="preserve"> </v>
      </c>
      <c r="C11" s="10"/>
      <c r="D11" s="19"/>
      <c r="E11" s="8"/>
      <c r="F11" s="24" t="str">
        <f>IFERROR(VLOOKUP(A11,'Product Details'!$A$1:$G$12,3,0)," ")</f>
        <v xml:space="preserve"> </v>
      </c>
      <c r="G11" s="24" t="str">
        <f t="shared" si="0"/>
        <v xml:space="preserve"> </v>
      </c>
    </row>
    <row r="12" spans="1:7" ht="15.6" x14ac:dyDescent="0.3">
      <c r="A12" s="26"/>
      <c r="B12" s="39" t="str">
        <f>IFERROR(VLOOKUP(A12,'Product Details'!$A$1:$C$12,2,0)," ")</f>
        <v xml:space="preserve"> </v>
      </c>
      <c r="C12" s="10"/>
      <c r="D12" s="19"/>
      <c r="E12" s="8"/>
      <c r="F12" s="24" t="str">
        <f>IFERROR(VLOOKUP(A12,'Product Details'!$A$1:$G$12,3,0)," ")</f>
        <v xml:space="preserve"> </v>
      </c>
      <c r="G12" s="24" t="str">
        <f t="shared" si="0"/>
        <v xml:space="preserve"> </v>
      </c>
    </row>
    <row r="13" spans="1:7" ht="15.6" x14ac:dyDescent="0.3">
      <c r="A13" s="26"/>
      <c r="B13" s="39" t="str">
        <f>IFERROR(VLOOKUP(A13,'Product Details'!$A$1:$C$12,2,0)," ")</f>
        <v xml:space="preserve"> </v>
      </c>
      <c r="C13" s="10"/>
      <c r="D13" s="19"/>
      <c r="E13" s="8"/>
      <c r="F13" s="24" t="str">
        <f>IFERROR(VLOOKUP(A13,'Product Details'!$A$1:$G$12,3,0)," ")</f>
        <v xml:space="preserve"> </v>
      </c>
      <c r="G13" s="24" t="str">
        <f t="shared" si="0"/>
        <v xml:space="preserve"> </v>
      </c>
    </row>
    <row r="14" spans="1:7" ht="15.6" x14ac:dyDescent="0.3">
      <c r="A14" s="26"/>
      <c r="B14" s="39" t="str">
        <f>IFERROR(VLOOKUP(A14,'Product Details'!$A$1:$C$12,2,0)," ")</f>
        <v xml:space="preserve"> </v>
      </c>
      <c r="C14" s="10"/>
      <c r="D14" s="19"/>
      <c r="E14" s="8"/>
      <c r="F14" s="24" t="str">
        <f>IFERROR(VLOOKUP(A14,'Product Details'!$A$1:$G$12,3,0)," ")</f>
        <v xml:space="preserve"> </v>
      </c>
      <c r="G14" s="24" t="str">
        <f t="shared" si="0"/>
        <v xml:space="preserve"> </v>
      </c>
    </row>
    <row r="15" spans="1:7" ht="15.6" x14ac:dyDescent="0.3">
      <c r="A15" s="26"/>
      <c r="B15" s="39" t="str">
        <f>IFERROR(VLOOKUP(A15,'Product Details'!$A$1:$C$12,2,0)," ")</f>
        <v xml:space="preserve"> </v>
      </c>
      <c r="C15" s="10"/>
      <c r="D15" s="19"/>
      <c r="E15" s="8"/>
      <c r="F15" s="24" t="str">
        <f>IFERROR(VLOOKUP(A15,'Product Details'!$A$1:$G$12,3,0)," ")</f>
        <v xml:space="preserve"> </v>
      </c>
      <c r="G15" s="24" t="str">
        <f t="shared" si="0"/>
        <v xml:space="preserve"> </v>
      </c>
    </row>
    <row r="16" spans="1:7" ht="15.6" x14ac:dyDescent="0.3">
      <c r="A16" s="26"/>
      <c r="B16" s="39" t="str">
        <f>IFERROR(VLOOKUP(A16,'Product Details'!$A$1:$C$12,2,0)," ")</f>
        <v xml:space="preserve"> </v>
      </c>
      <c r="C16" s="10"/>
      <c r="D16" s="19"/>
      <c r="E16" s="8"/>
      <c r="F16" s="24" t="str">
        <f>IFERROR(VLOOKUP(A16,'Product Details'!$A$1:$G$12,3,0)," ")</f>
        <v xml:space="preserve"> </v>
      </c>
      <c r="G16" s="24" t="str">
        <f t="shared" si="0"/>
        <v xml:space="preserve"> </v>
      </c>
    </row>
    <row r="17" spans="1:7" ht="15.6" x14ac:dyDescent="0.3">
      <c r="A17" s="26"/>
      <c r="B17" s="39" t="str">
        <f>IFERROR(VLOOKUP(A17,'Product Details'!$A$1:$C$12,2,0)," ")</f>
        <v xml:space="preserve"> </v>
      </c>
      <c r="C17" s="10"/>
      <c r="D17" s="19"/>
      <c r="E17" s="8"/>
      <c r="F17" s="24" t="str">
        <f>IFERROR(VLOOKUP(A17,'Product Details'!$A$1:$G$12,3,0)," ")</f>
        <v xml:space="preserve"> </v>
      </c>
      <c r="G17" s="24" t="str">
        <f t="shared" si="0"/>
        <v xml:space="preserve"> </v>
      </c>
    </row>
    <row r="18" spans="1:7" ht="15.6" x14ac:dyDescent="0.3">
      <c r="A18" s="27"/>
      <c r="B18" s="40" t="str">
        <f>IFERROR(VLOOKUP(A18,'Product Details'!$A$1:$C$12,2,0)," ")</f>
        <v xml:space="preserve"> </v>
      </c>
      <c r="C18" s="20"/>
      <c r="D18" s="21"/>
      <c r="E18" s="9"/>
      <c r="F18" s="25" t="str">
        <f>IFERROR(VLOOKUP(A18,'Product Details'!$A$1:$G$12,3,0)," ")</f>
        <v xml:space="preserve"> </v>
      </c>
      <c r="G18" s="25" t="str">
        <f t="shared" si="0"/>
        <v xml:space="preserve"> </v>
      </c>
    </row>
    <row r="19" spans="1:7" ht="15.6" x14ac:dyDescent="0.3">
      <c r="A19" s="10"/>
      <c r="F19" s="12" t="s">
        <v>36</v>
      </c>
      <c r="G19" s="13">
        <f>SUM(G9:G18)</f>
        <v>0</v>
      </c>
    </row>
    <row r="20" spans="1:7" x14ac:dyDescent="0.3">
      <c r="A20" s="10"/>
    </row>
    <row r="21" spans="1:7" x14ac:dyDescent="0.3">
      <c r="A21" s="10"/>
    </row>
    <row r="22" spans="1:7" x14ac:dyDescent="0.3">
      <c r="A22" s="10"/>
    </row>
    <row r="23" spans="1:7" x14ac:dyDescent="0.3">
      <c r="A23" s="10"/>
    </row>
    <row r="24" spans="1:7" x14ac:dyDescent="0.3">
      <c r="A24" s="10"/>
    </row>
    <row r="25" spans="1:7" x14ac:dyDescent="0.3">
      <c r="A25" s="10"/>
    </row>
    <row r="26" spans="1:7" x14ac:dyDescent="0.3">
      <c r="A26" s="10"/>
    </row>
    <row r="27" spans="1:7" x14ac:dyDescent="0.3">
      <c r="A27" s="10"/>
    </row>
    <row r="28" spans="1:7" x14ac:dyDescent="0.3">
      <c r="A28" s="10"/>
    </row>
    <row r="29" spans="1:7" x14ac:dyDescent="0.3">
      <c r="A29" s="10"/>
    </row>
    <row r="30" spans="1:7" x14ac:dyDescent="0.3">
      <c r="A30" s="10"/>
    </row>
  </sheetData>
  <mergeCells count="3">
    <mergeCell ref="B8:D8"/>
    <mergeCell ref="A1:E1"/>
    <mergeCell ref="A2:E5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fitToWidth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Module1.Save_Bill_Data">
                <anchor moveWithCells="1">
                  <from>
                    <xdr:col>8</xdr:col>
                    <xdr:colOff>99060</xdr:colOff>
                    <xdr:row>0</xdr:row>
                    <xdr:rowOff>121920</xdr:rowOff>
                  </from>
                  <to>
                    <xdr:col>10</xdr:col>
                    <xdr:colOff>220980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B820E-FE65-4B87-8C27-317906C7B3AC}">
  <sheetPr codeName="Sheet2"/>
  <dimension ref="A1:K29"/>
  <sheetViews>
    <sheetView workbookViewId="0">
      <selection activeCell="B28" sqref="B28"/>
    </sheetView>
  </sheetViews>
  <sheetFormatPr defaultRowHeight="14.4" x14ac:dyDescent="0.3"/>
  <cols>
    <col min="1" max="1" width="11.33203125" customWidth="1"/>
    <col min="2" max="2" width="11.33203125" style="28" customWidth="1"/>
    <col min="3" max="3" width="13.21875" style="29" customWidth="1"/>
    <col min="4" max="4" width="9.77734375" style="23" customWidth="1"/>
    <col min="5" max="5" width="10.88671875" customWidth="1"/>
    <col min="6" max="6" width="12.109375" customWidth="1"/>
    <col min="7" max="7" width="7.44140625" customWidth="1"/>
    <col min="8" max="8" width="8.44140625" customWidth="1"/>
    <col min="9" max="9" width="10.44140625" customWidth="1"/>
  </cols>
  <sheetData>
    <row r="1" spans="1:11" x14ac:dyDescent="0.3">
      <c r="A1" s="3" t="s">
        <v>41</v>
      </c>
      <c r="B1" s="45" t="s">
        <v>38</v>
      </c>
      <c r="C1" s="46" t="s">
        <v>39</v>
      </c>
      <c r="D1" s="47" t="s">
        <v>37</v>
      </c>
      <c r="E1" s="3" t="s">
        <v>6</v>
      </c>
      <c r="F1" s="3" t="s">
        <v>7</v>
      </c>
      <c r="G1" s="3" t="s">
        <v>8</v>
      </c>
      <c r="H1" s="3" t="s">
        <v>10</v>
      </c>
      <c r="I1" s="3" t="s">
        <v>40</v>
      </c>
      <c r="J1" s="3" t="s">
        <v>35</v>
      </c>
    </row>
    <row r="2" spans="1:11" x14ac:dyDescent="0.3">
      <c r="A2" s="22">
        <v>46078</v>
      </c>
      <c r="B2" s="28">
        <v>0.54609953703703706</v>
      </c>
      <c r="C2" s="29">
        <v>9004783224</v>
      </c>
      <c r="D2" s="23">
        <v>1</v>
      </c>
      <c r="E2" s="23">
        <v>1</v>
      </c>
      <c r="F2" t="s">
        <v>13</v>
      </c>
      <c r="G2">
        <v>1</v>
      </c>
      <c r="H2" s="16">
        <v>30</v>
      </c>
      <c r="I2" s="16">
        <v>30</v>
      </c>
      <c r="J2" s="16">
        <v>245</v>
      </c>
      <c r="K2" s="16"/>
    </row>
    <row r="3" spans="1:11" x14ac:dyDescent="0.3">
      <c r="A3" s="22">
        <v>46078</v>
      </c>
      <c r="B3" s="28">
        <v>0.54609953703703706</v>
      </c>
      <c r="C3" s="29">
        <v>9004783224</v>
      </c>
      <c r="D3" s="23">
        <v>1</v>
      </c>
      <c r="E3" s="23">
        <v>2</v>
      </c>
      <c r="F3" t="s">
        <v>14</v>
      </c>
      <c r="G3">
        <v>2</v>
      </c>
      <c r="H3" s="16">
        <v>40</v>
      </c>
      <c r="I3" s="16">
        <v>80</v>
      </c>
      <c r="J3" s="16">
        <v>245</v>
      </c>
      <c r="K3" s="16"/>
    </row>
    <row r="4" spans="1:11" x14ac:dyDescent="0.3">
      <c r="A4" s="22">
        <v>46078</v>
      </c>
      <c r="B4" s="28">
        <v>0.54609953703703706</v>
      </c>
      <c r="C4" s="29">
        <v>9004783224</v>
      </c>
      <c r="D4" s="23">
        <v>1</v>
      </c>
      <c r="E4" s="23">
        <v>3</v>
      </c>
      <c r="F4" t="s">
        <v>15</v>
      </c>
      <c r="G4">
        <v>3</v>
      </c>
      <c r="H4" s="16">
        <v>45</v>
      </c>
      <c r="I4" s="16">
        <v>135</v>
      </c>
      <c r="J4" s="16">
        <v>245</v>
      </c>
      <c r="K4" s="16"/>
    </row>
    <row r="5" spans="1:11" x14ac:dyDescent="0.3">
      <c r="A5" s="22"/>
      <c r="E5" s="23"/>
      <c r="H5" s="16"/>
      <c r="I5" s="16"/>
      <c r="J5" s="16"/>
      <c r="K5" s="16"/>
    </row>
    <row r="6" spans="1:11" x14ac:dyDescent="0.3">
      <c r="A6" s="22"/>
      <c r="E6" s="23"/>
      <c r="H6" s="16"/>
      <c r="I6" s="16"/>
      <c r="J6" s="16"/>
    </row>
    <row r="7" spans="1:11" x14ac:dyDescent="0.3">
      <c r="A7" s="22"/>
      <c r="E7" s="23"/>
      <c r="H7" s="16"/>
      <c r="I7" s="16"/>
      <c r="J7" s="16"/>
    </row>
    <row r="8" spans="1:11" x14ac:dyDescent="0.3">
      <c r="A8" s="22"/>
      <c r="E8" s="23"/>
      <c r="H8" s="16"/>
      <c r="I8" s="16"/>
      <c r="J8" s="16"/>
    </row>
    <row r="9" spans="1:11" x14ac:dyDescent="0.3">
      <c r="A9" s="22"/>
      <c r="E9" s="23"/>
      <c r="H9" s="16"/>
      <c r="I9" s="16"/>
      <c r="J9" s="16"/>
    </row>
    <row r="10" spans="1:11" x14ac:dyDescent="0.3">
      <c r="A10" s="22"/>
      <c r="E10" s="23"/>
      <c r="H10" s="16"/>
      <c r="I10" s="16"/>
      <c r="J10" s="16"/>
    </row>
    <row r="11" spans="1:11" x14ac:dyDescent="0.3">
      <c r="A11" s="22"/>
      <c r="E11" s="23"/>
      <c r="H11" s="16"/>
      <c r="I11" s="16"/>
      <c r="J11" s="16"/>
    </row>
    <row r="12" spans="1:11" x14ac:dyDescent="0.3">
      <c r="A12" s="22"/>
      <c r="E12" s="23"/>
      <c r="H12" s="16"/>
      <c r="I12" s="16"/>
      <c r="J12" s="16"/>
    </row>
    <row r="13" spans="1:11" x14ac:dyDescent="0.3">
      <c r="A13" s="22"/>
      <c r="E13" s="23"/>
      <c r="H13" s="16"/>
      <c r="I13" s="16"/>
      <c r="J13" s="16"/>
    </row>
    <row r="14" spans="1:11" x14ac:dyDescent="0.3">
      <c r="A14" s="22"/>
      <c r="H14" s="16"/>
      <c r="I14" s="16"/>
      <c r="J14" s="16"/>
    </row>
    <row r="15" spans="1:11" x14ac:dyDescent="0.3">
      <c r="A15" s="22"/>
      <c r="H15" s="16"/>
      <c r="I15" s="16"/>
      <c r="J15" s="16"/>
    </row>
    <row r="16" spans="1:11" x14ac:dyDescent="0.3">
      <c r="A16" s="22"/>
      <c r="H16" s="16"/>
      <c r="I16" s="16"/>
      <c r="J16" s="16"/>
    </row>
    <row r="17" spans="1:10" x14ac:dyDescent="0.3">
      <c r="A17" s="22"/>
      <c r="H17" s="16"/>
      <c r="I17" s="16"/>
      <c r="J17" s="16"/>
    </row>
    <row r="18" spans="1:10" x14ac:dyDescent="0.3">
      <c r="A18" s="22"/>
      <c r="H18" s="16"/>
      <c r="I18" s="16"/>
      <c r="J18" s="16"/>
    </row>
    <row r="19" spans="1:10" x14ac:dyDescent="0.3">
      <c r="A19" s="22"/>
      <c r="H19" s="16"/>
      <c r="I19" s="16"/>
      <c r="J19" s="16"/>
    </row>
    <row r="20" spans="1:10" x14ac:dyDescent="0.3">
      <c r="A20" s="22"/>
      <c r="H20" s="16"/>
      <c r="I20" s="16"/>
      <c r="J20" s="16"/>
    </row>
    <row r="21" spans="1:10" x14ac:dyDescent="0.3">
      <c r="A21" s="22"/>
      <c r="H21" s="16"/>
      <c r="I21" s="16"/>
      <c r="J21" s="16"/>
    </row>
    <row r="22" spans="1:10" x14ac:dyDescent="0.3">
      <c r="A22" s="22"/>
      <c r="H22" s="16"/>
      <c r="I22" s="16"/>
      <c r="J22" s="16"/>
    </row>
    <row r="23" spans="1:10" x14ac:dyDescent="0.3">
      <c r="A23" s="22"/>
      <c r="H23" s="16"/>
      <c r="I23" s="16"/>
      <c r="J23" s="16"/>
    </row>
    <row r="24" spans="1:10" x14ac:dyDescent="0.3">
      <c r="A24" s="22"/>
      <c r="H24" s="16"/>
      <c r="I24" s="16"/>
      <c r="J24" s="16"/>
    </row>
    <row r="25" spans="1:10" x14ac:dyDescent="0.3">
      <c r="A25" s="22"/>
      <c r="H25" s="16"/>
      <c r="I25" s="16"/>
      <c r="J25" s="16"/>
    </row>
    <row r="26" spans="1:10" x14ac:dyDescent="0.3">
      <c r="A26" s="22"/>
      <c r="H26" s="16"/>
      <c r="I26" s="16"/>
    </row>
    <row r="27" spans="1:10" x14ac:dyDescent="0.3">
      <c r="A27" s="22"/>
      <c r="H27" s="16"/>
      <c r="I27" s="16"/>
    </row>
    <row r="28" spans="1:10" x14ac:dyDescent="0.3">
      <c r="A28" s="22"/>
      <c r="H28" s="16"/>
      <c r="I28" s="16"/>
      <c r="J28" s="16"/>
    </row>
    <row r="29" spans="1:10" x14ac:dyDescent="0.3">
      <c r="A29" s="22"/>
      <c r="H29" s="16"/>
      <c r="I29" s="16"/>
      <c r="J29" s="1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CEDA2-7780-4C63-8F31-AF916FE29F19}">
  <sheetPr codeName="Sheet3"/>
  <dimension ref="A1:C26"/>
  <sheetViews>
    <sheetView workbookViewId="0">
      <selection activeCell="E14" sqref="E14"/>
    </sheetView>
  </sheetViews>
  <sheetFormatPr defaultRowHeight="14.4" x14ac:dyDescent="0.3"/>
  <cols>
    <col min="1" max="1" width="12" customWidth="1"/>
    <col min="2" max="2" width="23" style="1" customWidth="1"/>
    <col min="3" max="3" width="8.88671875" style="2"/>
  </cols>
  <sheetData>
    <row r="1" spans="1:3" x14ac:dyDescent="0.3">
      <c r="A1" s="3" t="s">
        <v>6</v>
      </c>
      <c r="B1" s="14" t="s">
        <v>11</v>
      </c>
      <c r="C1" s="15" t="s">
        <v>10</v>
      </c>
    </row>
    <row r="2" spans="1:3" x14ac:dyDescent="0.3">
      <c r="A2" t="s">
        <v>12</v>
      </c>
      <c r="B2" s="1" t="s">
        <v>13</v>
      </c>
      <c r="C2" s="2">
        <v>30</v>
      </c>
    </row>
    <row r="3" spans="1:3" x14ac:dyDescent="0.3">
      <c r="A3" t="s">
        <v>25</v>
      </c>
      <c r="B3" s="1" t="s">
        <v>14</v>
      </c>
      <c r="C3" s="2">
        <v>40</v>
      </c>
    </row>
    <row r="4" spans="1:3" x14ac:dyDescent="0.3">
      <c r="A4" t="s">
        <v>26</v>
      </c>
      <c r="B4" s="1" t="s">
        <v>15</v>
      </c>
      <c r="C4" s="2">
        <v>45</v>
      </c>
    </row>
    <row r="5" spans="1:3" x14ac:dyDescent="0.3">
      <c r="A5" t="s">
        <v>27</v>
      </c>
      <c r="B5" s="1" t="s">
        <v>16</v>
      </c>
      <c r="C5" s="2">
        <v>50</v>
      </c>
    </row>
    <row r="6" spans="1:3" x14ac:dyDescent="0.3">
      <c r="A6" t="s">
        <v>28</v>
      </c>
      <c r="B6" s="1" t="s">
        <v>17</v>
      </c>
      <c r="C6" s="2">
        <v>55</v>
      </c>
    </row>
    <row r="7" spans="1:3" x14ac:dyDescent="0.3">
      <c r="A7" t="s">
        <v>29</v>
      </c>
      <c r="B7" s="1" t="s">
        <v>18</v>
      </c>
      <c r="C7" s="2">
        <v>60</v>
      </c>
    </row>
    <row r="8" spans="1:3" x14ac:dyDescent="0.3">
      <c r="A8" t="s">
        <v>30</v>
      </c>
      <c r="B8" s="1" t="s">
        <v>19</v>
      </c>
      <c r="C8" s="2">
        <v>65</v>
      </c>
    </row>
    <row r="9" spans="1:3" x14ac:dyDescent="0.3">
      <c r="A9" t="s">
        <v>31</v>
      </c>
      <c r="B9" s="1" t="s">
        <v>20</v>
      </c>
      <c r="C9" s="2">
        <v>20</v>
      </c>
    </row>
    <row r="10" spans="1:3" x14ac:dyDescent="0.3">
      <c r="A10" t="s">
        <v>32</v>
      </c>
      <c r="B10" s="1" t="s">
        <v>21</v>
      </c>
      <c r="C10" s="2">
        <v>50</v>
      </c>
    </row>
    <row r="11" spans="1:3" x14ac:dyDescent="0.3">
      <c r="A11" t="s">
        <v>33</v>
      </c>
      <c r="B11" s="1" t="s">
        <v>22</v>
      </c>
      <c r="C11" s="2">
        <v>30</v>
      </c>
    </row>
    <row r="12" spans="1:3" x14ac:dyDescent="0.3">
      <c r="A12" t="s">
        <v>34</v>
      </c>
      <c r="B12" s="1" t="s">
        <v>23</v>
      </c>
      <c r="C12" s="2">
        <v>35</v>
      </c>
    </row>
    <row r="13" spans="1:3" x14ac:dyDescent="0.3">
      <c r="A13" t="str">
        <f t="shared" ref="A13:A26" si="0">TEXT(ROW(A12),"000")</f>
        <v>012</v>
      </c>
    </row>
    <row r="14" spans="1:3" x14ac:dyDescent="0.3">
      <c r="A14" t="str">
        <f t="shared" si="0"/>
        <v>013</v>
      </c>
    </row>
    <row r="15" spans="1:3" x14ac:dyDescent="0.3">
      <c r="A15" t="str">
        <f t="shared" si="0"/>
        <v>014</v>
      </c>
    </row>
    <row r="16" spans="1:3" x14ac:dyDescent="0.3">
      <c r="A16" t="str">
        <f t="shared" si="0"/>
        <v>015</v>
      </c>
    </row>
    <row r="17" spans="1:1" x14ac:dyDescent="0.3">
      <c r="A17" t="str">
        <f t="shared" si="0"/>
        <v>016</v>
      </c>
    </row>
    <row r="18" spans="1:1" x14ac:dyDescent="0.3">
      <c r="A18" t="str">
        <f t="shared" si="0"/>
        <v>017</v>
      </c>
    </row>
    <row r="19" spans="1:1" x14ac:dyDescent="0.3">
      <c r="A19" t="str">
        <f>TEXT(ROW(A18),"000")</f>
        <v>018</v>
      </c>
    </row>
    <row r="20" spans="1:1" x14ac:dyDescent="0.3">
      <c r="A20" t="str">
        <f t="shared" si="0"/>
        <v>019</v>
      </c>
    </row>
    <row r="21" spans="1:1" x14ac:dyDescent="0.3">
      <c r="A21" t="str">
        <f t="shared" si="0"/>
        <v>020</v>
      </c>
    </row>
    <row r="22" spans="1:1" x14ac:dyDescent="0.3">
      <c r="A22" t="str">
        <f t="shared" si="0"/>
        <v>021</v>
      </c>
    </row>
    <row r="23" spans="1:1" x14ac:dyDescent="0.3">
      <c r="A23" t="str">
        <f t="shared" si="0"/>
        <v>022</v>
      </c>
    </row>
    <row r="24" spans="1:1" x14ac:dyDescent="0.3">
      <c r="A24" t="str">
        <f t="shared" si="0"/>
        <v>023</v>
      </c>
    </row>
    <row r="25" spans="1:1" x14ac:dyDescent="0.3">
      <c r="A25" t="str">
        <f t="shared" si="0"/>
        <v>024</v>
      </c>
    </row>
    <row r="26" spans="1:1" x14ac:dyDescent="0.3">
      <c r="A26" t="str">
        <f t="shared" si="0"/>
        <v>025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Billing_Details</vt:lpstr>
      <vt:lpstr>Sales_Data</vt:lpstr>
      <vt:lpstr>Product Details</vt:lpstr>
      <vt:lpstr>Billing_Details!Print_Area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Sohan Punekar</dc:creator>
  <cp:lastModifiedBy>Sohan Punekar</cp:lastModifiedBy>
  <cp:lastPrinted>2026-02-25T07:36:41Z</cp:lastPrinted>
  <dcterms:created xsi:type="dcterms:W3CDTF">2026-02-24T10:16:11Z</dcterms:created>
  <dcterms:modified xsi:type="dcterms:W3CDTF">2026-02-25T07:53:23Z</dcterms:modified>
</cp:coreProperties>
</file>